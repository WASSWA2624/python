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ed Selections" sheetId="2" state="visible" r:id="rId2"/>
    <sheet xmlns:r="http://schemas.openxmlformats.org/officeDocument/2006/relationships" name="All Matches" sheetId="3" state="visible" r:id="rId3"/>
    <sheet xmlns:r="http://schemas.openxmlformats.org/officeDocument/2006/relationships" name="Run Log" sheetId="4" state="visible" r:id="rId4"/>
    <sheet xmlns:r="http://schemas.openxmlformats.org/officeDocument/2006/relationships" name="Data Sources" sheetId="5" state="visible" r:id="rId5"/>
  </sheets>
  <definedNames>
    <definedName name="_xlnm._FilterDatabase" localSheetId="1" hidden="1">'Ranked Selections'!$A$1:$Q$2</definedName>
    <definedName name="_xlnm._FilterDatabase" localSheetId="2" hidden="1">'All Matches'!$A$1:$BR$8</definedName>
    <definedName name="_xlnm._FilterDatabase" localSheetId="3" hidden="1">'Run Log'!$A$1:$N$3</definedName>
    <definedName name="_xlnm._FilterDatabase" localSheetId="4" hidden="1">'Data Sources'!$A$1:$E$2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yyyy-mm-dd hh:mm"/>
    <numFmt numFmtId="166" formatCode="0.0%"/>
    <numFmt numFmtId="167" formatCode="+0.0%;-0.0%;0.0%"/>
    <numFmt numFmtId="168" formatCode="0.000"/>
    <numFmt numFmtId="169" formatCode="0.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165" fontId="0" fillId="0" borderId="0" pivotButton="0" quotePrefix="0" xfId="0"/>
    <xf numFmtId="2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34" customWidth="1" min="1" max="1"/>
    <col width="46" customWidth="1" min="2" max="2"/>
    <col width="18" customWidth="1" min="3" max="3"/>
    <col width="18" customWidth="1" min="4" max="4"/>
  </cols>
  <sheetData>
    <row r="1">
      <c r="A1" s="1" t="inlineStr">
        <is>
          <t>Over 1.5 Goals - Match Analysis</t>
        </is>
      </c>
    </row>
    <row r="3">
      <c r="A3" s="2" t="inlineStr">
        <is>
          <t>Analysis date</t>
        </is>
      </c>
      <c r="B3" t="inlineStr">
        <is>
          <t>2026-09-08</t>
        </is>
      </c>
    </row>
    <row r="4">
      <c r="A4" s="2" t="inlineStr">
        <is>
          <t>Analysis window (EAT)</t>
        </is>
      </c>
      <c r="B4" t="inlineStr">
        <is>
          <t>19:00 - 22:00 (custom)</t>
        </is>
      </c>
    </row>
    <row r="5">
      <c r="A5" s="2" t="inlineStr">
        <is>
          <t>First run (UTC)</t>
        </is>
      </c>
      <c r="B5" s="3" t="n">
        <v>46272.86796719908</v>
      </c>
    </row>
    <row r="6">
      <c r="A6" s="2" t="inlineStr">
        <is>
          <t>Latest run (UTC)</t>
        </is>
      </c>
      <c r="B6" s="3" t="n">
        <v>46272.86824977231</v>
      </c>
    </row>
    <row r="7">
      <c r="A7" s="2" t="inlineStr">
        <is>
          <t>Fixture source</t>
        </is>
      </c>
      <c r="B7" t="inlineStr">
        <is>
          <t>manual fixture list (_demo/fixtures.csv)</t>
        </is>
      </c>
    </row>
    <row r="9">
      <c r="A9" s="2" t="inlineStr">
        <is>
          <t>Matches found</t>
        </is>
      </c>
      <c r="B9" t="n">
        <v>7</v>
      </c>
    </row>
    <row r="10">
      <c r="A10" s="2" t="inlineStr">
        <is>
          <t>Matches in window</t>
        </is>
      </c>
      <c r="B10" t="n">
        <v>3</v>
      </c>
    </row>
    <row r="11">
      <c r="A11" s="2" t="inlineStr">
        <is>
          <t>Matches analysed</t>
        </is>
      </c>
      <c r="B11" t="n">
        <v>6</v>
      </c>
    </row>
    <row r="12">
      <c r="A12" s="2" t="inlineStr">
        <is>
          <t>Matches qualified</t>
        </is>
      </c>
      <c r="B12" t="n">
        <v>1</v>
      </c>
    </row>
    <row r="14">
      <c r="A14" s="2" t="inlineStr">
        <is>
          <t xml:space="preserve">  TOP PICK</t>
        </is>
      </c>
      <c r="B14" t="n">
        <v>0</v>
      </c>
    </row>
    <row r="15">
      <c r="A15" s="2" t="inlineStr">
        <is>
          <t xml:space="preserve">  GOOD PICK</t>
        </is>
      </c>
      <c r="B15" t="n">
        <v>1</v>
      </c>
    </row>
    <row r="16">
      <c r="A16" s="2" t="inlineStr">
        <is>
          <t xml:space="preserve">  HIGH-ODDS VALUE PICK</t>
        </is>
      </c>
      <c r="B16" t="n">
        <v>0</v>
      </c>
    </row>
    <row r="18">
      <c r="A18" s="2" t="inlineStr">
        <is>
          <t>Effective configuration</t>
        </is>
      </c>
    </row>
    <row r="19">
      <c r="A19" s="2" t="inlineStr">
        <is>
          <t xml:space="preserve">  Analysis window</t>
        </is>
      </c>
      <c r="B19" t="inlineStr">
        <is>
          <t>19:00-22:00 EAT   [flag]</t>
        </is>
      </c>
    </row>
    <row r="20">
      <c r="A20" s="2" t="inlineStr">
        <is>
          <t xml:space="preserve">  Minimum probability</t>
        </is>
      </c>
      <c r="B20" t="inlineStr">
        <is>
          <t>85.0%   [flag]</t>
        </is>
      </c>
    </row>
    <row r="21">
      <c r="A21" s="2" t="inlineStr">
        <is>
          <t xml:space="preserve">  Minimum odds</t>
        </is>
      </c>
      <c r="B21" t="inlineStr">
        <is>
          <t>1.20   [flag]</t>
        </is>
      </c>
    </row>
    <row r="22">
      <c r="A22" s="2" t="inlineStr">
        <is>
          <t xml:space="preserve">  Maximum odds</t>
        </is>
      </c>
      <c r="B22" t="inlineStr">
        <is>
          <t>5.00   [default]</t>
        </is>
      </c>
    </row>
    <row r="23">
      <c r="A23" s="2" t="inlineStr">
        <is>
          <t xml:space="preserve">  Minimum value</t>
        </is>
      </c>
      <c r="B23" t="inlineStr">
        <is>
          <t>+0.000   [default]</t>
        </is>
      </c>
    </row>
    <row r="24">
      <c r="A24" s="2" t="inlineStr">
        <is>
          <t xml:space="preserve">  Minimum H2H matches</t>
        </is>
      </c>
      <c r="B24" t="inlineStr">
        <is>
          <t>3   [default]</t>
        </is>
      </c>
    </row>
    <row r="25">
      <c r="A25" s="2" t="inlineStr">
        <is>
          <t xml:space="preserve">  Minimum form matches</t>
        </is>
      </c>
      <c r="B25" t="inlineStr">
        <is>
          <t>5   [default]</t>
        </is>
      </c>
    </row>
    <row r="26">
      <c r="A26" s="2" t="inlineStr">
        <is>
          <t xml:space="preserve">  Score weights</t>
        </is>
      </c>
      <c r="B26" t="inlineStr">
        <is>
          <t>probability 0.60 / value 0.40   [default]</t>
        </is>
      </c>
    </row>
    <row r="27">
      <c r="A27" s="2" t="inlineStr">
        <is>
          <t xml:space="preserve">  Output directory</t>
        </is>
      </c>
      <c r="B27" t="inlineStr">
        <is>
          <t>_demo/results   [flag]</t>
        </is>
      </c>
    </row>
    <row r="28">
      <c r="A28" s="2" t="inlineStr">
        <is>
          <t xml:space="preserve">  Statistics providers</t>
        </is>
      </c>
      <c r="B28" t="inlineStr">
        <is>
          <t>none   [flag]</t>
        </is>
      </c>
    </row>
    <row r="29">
      <c r="A29" s="2" t="inlineStr">
        <is>
          <t xml:space="preserve">  Dixon-Coles correction</t>
        </is>
      </c>
      <c r="B29" t="inlineStr">
        <is>
          <t>off   [default]</t>
        </is>
      </c>
    </row>
    <row r="31">
      <c r="A31" s="2" t="inlineStr">
        <is>
          <t>Disclaimer</t>
        </is>
      </c>
    </row>
    <row r="32">
      <c r="A32" s="4" t="inlineStr">
        <is>
          <t>These figures are statistical estimates, not predictions of certain outcomes. This tool performs analysis only: it places no bets and takes no authenticated action on any sportsbook. Bet responsibly, and only what you can afford to lose.</t>
        </is>
      </c>
    </row>
    <row r="33"/>
    <row r="34"/>
  </sheetData>
  <mergeCells count="1">
    <mergeCell ref="A32:D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24" customWidth="1" min="3" max="3"/>
    <col width="18" customWidth="1" min="4" max="4"/>
    <col width="10" customWidth="1" min="5" max="5"/>
    <col width="12" customWidth="1" min="6" max="6"/>
    <col width="13" customWidth="1" min="7" max="7"/>
    <col width="10" customWidth="1" min="8" max="8"/>
    <col width="10" customWidth="1" min="9" max="9"/>
    <col width="12" customWidth="1" min="10" max="10"/>
    <col width="14" customWidth="1" min="11" max="11"/>
    <col width="12" customWidth="1" min="12" max="12"/>
    <col width="20" customWidth="1" min="13" max="13"/>
    <col width="9" customWidth="1" min="14" max="14"/>
    <col width="22" customWidth="1" min="15" max="15"/>
    <col width="18" customWidth="1" min="16" max="16"/>
    <col width="18" customWidth="1" min="17" max="17"/>
  </cols>
  <sheetData>
    <row r="1">
      <c r="A1" s="5" t="inlineStr">
        <is>
          <t>Rank</t>
        </is>
      </c>
      <c r="B1" s="5" t="inlineStr">
        <is>
          <t>Match</t>
        </is>
      </c>
      <c r="C1" s="5" t="inlineStr">
        <is>
          <t>League</t>
        </is>
      </c>
      <c r="D1" s="5" t="inlineStr">
        <is>
          <t>Kick-off (EAT)</t>
        </is>
      </c>
      <c r="E1" s="5" t="inlineStr">
        <is>
          <t>O1.5 Odds</t>
        </is>
      </c>
      <c r="F1" s="5" t="inlineStr">
        <is>
          <t>Model Prob</t>
        </is>
      </c>
      <c r="G1" s="5" t="inlineStr">
        <is>
          <t>Implied (Fair)</t>
        </is>
      </c>
      <c r="H1" s="5" t="inlineStr">
        <is>
          <t>Value</t>
        </is>
      </c>
      <c r="I1" s="5" t="inlineStr">
        <is>
          <t>EV</t>
        </is>
      </c>
      <c r="J1" s="5" t="inlineStr">
        <is>
          <t>H2H O1.5 %</t>
        </is>
      </c>
      <c r="K1" s="5" t="inlineStr">
        <is>
          <t>Recent O1.5 %</t>
        </is>
      </c>
      <c r="L1" s="5" t="inlineStr">
        <is>
          <t>Confidence</t>
        </is>
      </c>
      <c r="M1" s="5" t="inlineStr">
        <is>
          <t>Category</t>
        </is>
      </c>
      <c r="N1" s="5" t="inlineStr">
        <is>
          <t>Score</t>
        </is>
      </c>
      <c r="O1" s="5" t="inlineStr">
        <is>
          <t>Status</t>
        </is>
      </c>
      <c r="P1" s="5" t="inlineStr">
        <is>
          <t>First Seen</t>
        </is>
      </c>
      <c r="Q1" s="5" t="inlineStr">
        <is>
          <t>Last Updated</t>
        </is>
      </c>
    </row>
    <row r="2">
      <c r="A2" t="n">
        <v>1</v>
      </c>
      <c r="B2" t="inlineStr">
        <is>
          <t>Chelsea vs Liverpool</t>
        </is>
      </c>
      <c r="C2" t="inlineStr">
        <is>
          <t>English Premier League</t>
        </is>
      </c>
      <c r="D2" s="6" t="n">
        <v>46273.85416666666</v>
      </c>
      <c r="E2" s="7" t="n">
        <v>1.24</v>
      </c>
      <c r="F2" s="8" t="n">
        <v>0.8844764246466497</v>
      </c>
      <c r="G2" s="8" t="n">
        <v>0.7677902621722846</v>
      </c>
      <c r="H2" s="9" t="n">
        <v>0.116686162474365</v>
      </c>
      <c r="I2" s="9" t="n">
        <v>0.09675076656184567</v>
      </c>
      <c r="J2" s="8" t="n">
        <v>1</v>
      </c>
      <c r="K2" s="8" t="n">
        <v>0.95</v>
      </c>
      <c r="L2" t="inlineStr">
        <is>
          <t>Low</t>
        </is>
      </c>
      <c r="M2" t="inlineStr">
        <is>
          <t>GOOD PICK</t>
        </is>
      </c>
      <c r="N2" s="10" t="n">
        <v>0.4580603867797652</v>
      </c>
      <c r="O2" t="inlineStr">
        <is>
          <t>Analysed</t>
        </is>
      </c>
      <c r="P2" s="6" t="n">
        <v>46272.86796771991</v>
      </c>
      <c r="Q2" s="6" t="n">
        <v>46272.86824977109</v>
      </c>
    </row>
  </sheetData>
  <autoFilter ref="A1:Q2"/>
  <conditionalFormatting sqref="F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24" customWidth="1" min="3" max="3"/>
    <col width="20" customWidth="1" min="4" max="4"/>
    <col width="20" customWidth="1" min="5" max="5"/>
    <col width="18" customWidth="1" min="6" max="6"/>
    <col width="18" customWidth="1" min="7" max="7"/>
    <col width="22" customWidth="1" min="8" max="8"/>
    <col width="46" customWidth="1" min="9" max="9"/>
    <col width="7" customWidth="1" min="10" max="10"/>
    <col width="20" customWidth="1" min="11" max="11"/>
    <col width="10" customWidth="1" min="12" max="12"/>
    <col width="9" customWidth="1" min="13" max="13"/>
    <col width="10" customWidth="1" min="14" max="14"/>
    <col width="10" customWidth="1" min="15" max="15"/>
    <col width="10" customWidth="1" min="16" max="16"/>
    <col width="10" customWidth="1" min="17" max="17"/>
    <col width="8" customWidth="1" min="18" max="18"/>
    <col width="8" customWidth="1" min="19" max="19"/>
    <col width="8" customWidth="1" min="20" max="20"/>
    <col width="10" customWidth="1" min="21" max="21"/>
    <col width="10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7" customWidth="1" min="28" max="28"/>
    <col width="13" customWidth="1" min="29" max="29"/>
    <col width="13" customWidth="1" min="30" max="30"/>
    <col width="11" customWidth="1" min="31" max="31"/>
    <col width="15" customWidth="1" min="32" max="32"/>
    <col width="10" customWidth="1" min="33" max="33"/>
    <col width="10" customWidth="1" min="34" max="34"/>
    <col width="9" customWidth="1" min="35" max="35"/>
    <col width="12" customWidth="1" min="36" max="36"/>
    <col width="12" customWidth="1" min="37" max="37"/>
    <col width="14" customWidth="1" min="38" max="38"/>
    <col width="13" customWidth="1" min="39" max="39"/>
    <col width="50" customWidth="1" min="40" max="40"/>
    <col width="17" customWidth="1" min="41" max="41"/>
    <col width="17" customWidth="1" min="42" max="42"/>
    <col width="16" customWidth="1" min="43" max="43"/>
    <col width="17" customWidth="1" min="44" max="44"/>
    <col width="15" customWidth="1" min="45" max="45"/>
    <col width="13" customWidth="1" min="46" max="46"/>
    <col width="17" customWidth="1" min="47" max="47"/>
    <col width="17" customWidth="1" min="48" max="48"/>
    <col width="16" customWidth="1" min="49" max="49"/>
    <col width="17" customWidth="1" min="50" max="50"/>
    <col width="15" customWidth="1" min="51" max="51"/>
    <col width="13" customWidth="1" min="52" max="52"/>
    <col width="19" customWidth="1" min="53" max="53"/>
    <col width="18" customWidth="1" min="54" max="54"/>
    <col width="20" customWidth="1" min="55" max="55"/>
    <col width="19" customWidth="1" min="56" max="56"/>
    <col width="18" customWidth="1" min="57" max="57"/>
    <col width="20" customWidth="1" min="58" max="58"/>
    <col width="16" customWidth="1" min="59" max="59"/>
    <col width="14" customWidth="1" min="60" max="60"/>
    <col width="34" customWidth="1" min="61" max="61"/>
    <col width="34" customWidth="1" min="62" max="62"/>
    <col width="50" customWidth="1" min="63" max="63"/>
    <col width="40" customWidth="1" min="64" max="64"/>
    <col width="34" customWidth="1" min="65" max="65"/>
    <col width="26" customWidth="1" min="66" max="66"/>
    <col width="26" customWidth="1" min="67" max="67"/>
    <col width="18" customWidth="1" min="68" max="68"/>
    <col width="18" customWidth="1" min="69" max="69"/>
    <col width="18" customWidth="1" min="70" max="70"/>
  </cols>
  <sheetData>
    <row r="1">
      <c r="A1" s="5" t="inlineStr">
        <is>
          <t>Match Key</t>
        </is>
      </c>
      <c r="B1" s="5" t="inlineStr">
        <is>
          <t>Match</t>
        </is>
      </c>
      <c r="C1" s="5" t="inlineStr">
        <is>
          <t>League</t>
        </is>
      </c>
      <c r="D1" s="5" t="inlineStr">
        <is>
          <t>Home Team</t>
        </is>
      </c>
      <c r="E1" s="5" t="inlineStr">
        <is>
          <t>Away Team</t>
        </is>
      </c>
      <c r="F1" s="5" t="inlineStr">
        <is>
          <t>Kick-off (EAT)</t>
        </is>
      </c>
      <c r="G1" s="5" t="inlineStr">
        <is>
          <t>Kick-off (UTC)</t>
        </is>
      </c>
      <c r="H1" s="5" t="inlineStr">
        <is>
          <t>Status</t>
        </is>
      </c>
      <c r="I1" s="5" t="inlineStr">
        <is>
          <t>Exclusion Reason</t>
        </is>
      </c>
      <c r="J1" s="5" t="inlineStr">
        <is>
          <t>Rank</t>
        </is>
      </c>
      <c r="K1" s="5" t="inlineStr">
        <is>
          <t>Category</t>
        </is>
      </c>
      <c r="L1" s="5" t="inlineStr">
        <is>
          <t>Qualified</t>
        </is>
      </c>
      <c r="M1" s="5" t="inlineStr">
        <is>
          <t>Score</t>
        </is>
      </c>
      <c r="N1" s="5" t="inlineStr">
        <is>
          <t>O1.5 Odds</t>
        </is>
      </c>
      <c r="O1" s="5" t="inlineStr">
        <is>
          <t>U1.5 Odds</t>
        </is>
      </c>
      <c r="P1" s="5" t="inlineStr">
        <is>
          <t>O2.5 Odds</t>
        </is>
      </c>
      <c r="Q1" s="5" t="inlineStr">
        <is>
          <t>U2.5 Odds</t>
        </is>
      </c>
      <c r="R1" s="5" t="inlineStr">
        <is>
          <t>1</t>
        </is>
      </c>
      <c r="S1" s="5" t="inlineStr">
        <is>
          <t>X</t>
        </is>
      </c>
      <c r="T1" s="5" t="inlineStr">
        <is>
          <t>2</t>
        </is>
      </c>
      <c r="U1" s="5" t="inlineStr">
        <is>
          <t>BTTS Yes</t>
        </is>
      </c>
      <c r="V1" s="5" t="inlineStr">
        <is>
          <t>BTTS No</t>
        </is>
      </c>
      <c r="W1" s="5" t="inlineStr">
        <is>
          <t>Model Prob</t>
        </is>
      </c>
      <c r="X1" s="5" t="inlineStr">
        <is>
          <t>Lambda Home</t>
        </is>
      </c>
      <c r="Y1" s="5" t="inlineStr">
        <is>
          <t>Lambda Away</t>
        </is>
      </c>
      <c r="Z1" s="5" t="inlineStr">
        <is>
          <t>Lambda Total</t>
        </is>
      </c>
      <c r="AA1" s="5" t="inlineStr">
        <is>
          <t>Confidence</t>
        </is>
      </c>
      <c r="AB1" s="5" t="inlineStr">
        <is>
          <t>Data Completeness</t>
        </is>
      </c>
      <c r="AC1" s="5" t="inlineStr">
        <is>
          <t>Implied (Raw)</t>
        </is>
      </c>
      <c r="AD1" s="5" t="inlineStr">
        <is>
          <t>Implied (Fair)</t>
        </is>
      </c>
      <c r="AE1" s="5" t="inlineStr">
        <is>
          <t>Overround</t>
        </is>
      </c>
      <c r="AF1" s="5" t="inlineStr">
        <is>
          <t>Margin Adjusted</t>
        </is>
      </c>
      <c r="AG1" s="5" t="inlineStr">
        <is>
          <t>Value</t>
        </is>
      </c>
      <c r="AH1" s="5" t="inlineStr">
        <is>
          <t>EV</t>
        </is>
      </c>
      <c r="AI1" s="5" t="inlineStr">
        <is>
          <t>Kelly</t>
        </is>
      </c>
      <c r="AJ1" s="5" t="inlineStr">
        <is>
          <t>H2H Matches</t>
        </is>
      </c>
      <c r="AK1" s="5" t="inlineStr">
        <is>
          <t>H2H O1.5 %</t>
        </is>
      </c>
      <c r="AL1" s="5" t="inlineStr">
        <is>
          <t>H2H Avg Goals</t>
        </is>
      </c>
      <c r="AM1" s="5" t="inlineStr">
        <is>
          <t>H2H 2+ Goals</t>
        </is>
      </c>
      <c r="AN1" s="5" t="inlineStr">
        <is>
          <t>H2H Recent</t>
        </is>
      </c>
      <c r="AO1" s="5" t="inlineStr">
        <is>
          <t>Home Form Matches</t>
        </is>
      </c>
      <c r="AP1" s="5" t="inlineStr">
        <is>
          <t>Home Form O1.5 %</t>
        </is>
      </c>
      <c r="AQ1" s="5" t="inlineStr">
        <is>
          <t>Home Avg Scored</t>
        </is>
      </c>
      <c r="AR1" s="5" t="inlineStr">
        <is>
          <t>Home Avg Conceded</t>
        </is>
      </c>
      <c r="AS1" s="5" t="inlineStr">
        <is>
          <t>Home Avg Total</t>
        </is>
      </c>
      <c r="AT1" s="5" t="inlineStr">
        <is>
          <t>Home Form 2+</t>
        </is>
      </c>
      <c r="AU1" s="5" t="inlineStr">
        <is>
          <t>Away Form Matches</t>
        </is>
      </c>
      <c r="AV1" s="5" t="inlineStr">
        <is>
          <t>Away Form O1.5 %</t>
        </is>
      </c>
      <c r="AW1" s="5" t="inlineStr">
        <is>
          <t>Away Avg Scored</t>
        </is>
      </c>
      <c r="AX1" s="5" t="inlineStr">
        <is>
          <t>Away Avg Conceded</t>
        </is>
      </c>
      <c r="AY1" s="5" t="inlineStr">
        <is>
          <t>Away Avg Total</t>
        </is>
      </c>
      <c r="AZ1" s="5" t="inlineStr">
        <is>
          <t>Away Form 2+</t>
        </is>
      </c>
      <c r="BA1" s="5" t="inlineStr">
        <is>
          <t>Home (Home) Matches</t>
        </is>
      </c>
      <c r="BB1" s="5" t="inlineStr">
        <is>
          <t>Home (Home) O1.5 %</t>
        </is>
      </c>
      <c r="BC1" s="5" t="inlineStr">
        <is>
          <t>Home (Home) Avg Total</t>
        </is>
      </c>
      <c r="BD1" s="5" t="inlineStr">
        <is>
          <t>Away (Away) Matches</t>
        </is>
      </c>
      <c r="BE1" s="5" t="inlineStr">
        <is>
          <t>Away (Away) O1.5 %</t>
        </is>
      </c>
      <c r="BF1" s="5" t="inlineStr">
        <is>
          <t>Away (Away) Avg Total</t>
        </is>
      </c>
      <c r="BG1" s="5" t="inlineStr">
        <is>
          <t>League Avg Goals</t>
        </is>
      </c>
      <c r="BH1" s="5" t="inlineStr">
        <is>
          <t>League O1.5 %</t>
        </is>
      </c>
      <c r="BI1" s="5" t="inlineStr">
        <is>
          <t>League Trend</t>
        </is>
      </c>
      <c r="BJ1" s="5" t="inlineStr">
        <is>
          <t>Context Notes</t>
        </is>
      </c>
      <c r="BK1" s="5" t="inlineStr">
        <is>
          <t>Model Notes</t>
        </is>
      </c>
      <c r="BL1" s="5" t="inlineStr">
        <is>
          <t>Review Flags</t>
        </is>
      </c>
      <c r="BM1" s="5" t="inlineStr">
        <is>
          <t>Unreliable Reason</t>
        </is>
      </c>
      <c r="BN1" s="5" t="inlineStr">
        <is>
          <t>Fixture Source</t>
        </is>
      </c>
      <c r="BO1" s="5" t="inlineStr">
        <is>
          <t>Stats Sources</t>
        </is>
      </c>
      <c r="BP1" s="5" t="inlineStr">
        <is>
          <t>Collected At (UTC)</t>
        </is>
      </c>
      <c r="BQ1" s="5" t="inlineStr">
        <is>
          <t>First Seen (UTC)</t>
        </is>
      </c>
      <c r="BR1" s="5" t="inlineStr">
        <is>
          <t>Last Updated (UTC)</t>
        </is>
      </c>
    </row>
    <row r="2">
      <c r="A2" t="inlineStr">
        <is>
          <t>7c3ae351f3f78f211a0fd182d695db460bf938a7</t>
        </is>
      </c>
      <c r="B2" t="inlineStr">
        <is>
          <t>Chelsea vs Liverpool</t>
        </is>
      </c>
      <c r="C2" t="inlineStr">
        <is>
          <t>English Premier League</t>
        </is>
      </c>
      <c r="D2" t="inlineStr">
        <is>
          <t>Chelsea</t>
        </is>
      </c>
      <c r="E2" t="inlineStr">
        <is>
          <t>Liverpool</t>
        </is>
      </c>
      <c r="F2" s="6" t="n">
        <v>46273.85416666666</v>
      </c>
      <c r="G2" s="6" t="n">
        <v>46273.72916666666</v>
      </c>
      <c r="H2" t="inlineStr">
        <is>
          <t>Analysed</t>
        </is>
      </c>
      <c r="I2" t="inlineStr"/>
      <c r="J2" t="n">
        <v>1</v>
      </c>
      <c r="K2" t="inlineStr">
        <is>
          <t>GOOD PICK</t>
        </is>
      </c>
      <c r="L2" t="b">
        <v>1</v>
      </c>
      <c r="M2" s="10" t="n">
        <v>0.4580603867797652</v>
      </c>
      <c r="N2" s="7" t="n">
        <v>1.24</v>
      </c>
      <c r="O2" s="7" t="n">
        <v>4.1</v>
      </c>
      <c r="P2" s="7" t="n">
        <v>1.72</v>
      </c>
      <c r="Q2" s="7" t="n"/>
      <c r="R2" s="7" t="n">
        <v>2.8</v>
      </c>
      <c r="S2" s="7" t="n">
        <v>3.3</v>
      </c>
      <c r="T2" s="7" t="n">
        <v>2.45</v>
      </c>
      <c r="U2" s="7" t="n"/>
      <c r="V2" s="7" t="n"/>
      <c r="W2" s="8" t="n">
        <v>0.8844764246466497</v>
      </c>
      <c r="X2" s="7" t="n">
        <v>2.002481480860147</v>
      </c>
      <c r="Y2" s="7" t="n">
        <v>1.704939333648529</v>
      </c>
      <c r="Z2" s="7" t="n">
        <v>3.707420814508676</v>
      </c>
      <c r="AA2" t="inlineStr">
        <is>
          <t>Low</t>
        </is>
      </c>
      <c r="AB2" s="8" t="n">
        <v>1</v>
      </c>
      <c r="AC2" s="8" t="n">
        <v>0.8064516129032259</v>
      </c>
      <c r="AD2" s="8" t="n">
        <v>0.7677902621722846</v>
      </c>
      <c r="AE2" s="7" t="n">
        <v>1.050354051927616</v>
      </c>
      <c r="AF2" t="b">
        <v>1</v>
      </c>
      <c r="AG2" s="9" t="n">
        <v>0.116686162474365</v>
      </c>
      <c r="AH2" s="9" t="n">
        <v>0.09675076656184567</v>
      </c>
      <c r="AI2" s="8" t="n">
        <v>0.40312819400769</v>
      </c>
      <c r="AJ2" t="n">
        <v>4</v>
      </c>
      <c r="AK2" s="8" t="n">
        <v>1</v>
      </c>
      <c r="AL2" s="7" t="n">
        <v>5.012836044026133</v>
      </c>
      <c r="AM2" t="n">
        <v>4</v>
      </c>
      <c r="AN2" t="inlineStr">
        <is>
          <t>2026-07-12 Chelsea 3-2 Liverpool | 2026-02-16 Chelsea 4-3 Liverpool | 2026-01-19 Chelsea 1-2 Liverpool | 2026-01-07 Liverpool 4-1 Chelsea</t>
        </is>
      </c>
      <c r="AO2" t="n">
        <v>10</v>
      </c>
      <c r="AP2" s="8" t="n">
        <v>1</v>
      </c>
      <c r="AQ2" s="7" t="n">
        <v>1.6</v>
      </c>
      <c r="AR2" s="7" t="n">
        <v>1.8</v>
      </c>
      <c r="AS2" s="7" t="n">
        <v>3.4</v>
      </c>
      <c r="AT2" t="n">
        <v>10</v>
      </c>
      <c r="AU2" t="n">
        <v>10</v>
      </c>
      <c r="AV2" s="8" t="n">
        <v>0.9</v>
      </c>
      <c r="AW2" s="7" t="n">
        <v>1.3</v>
      </c>
      <c r="AX2" s="7" t="n">
        <v>1.9</v>
      </c>
      <c r="AY2" s="7" t="n">
        <v>3.2</v>
      </c>
      <c r="AZ2" t="n">
        <v>9</v>
      </c>
      <c r="BA2" t="n">
        <v>10</v>
      </c>
      <c r="BB2" s="8" t="n">
        <v>0.9</v>
      </c>
      <c r="BC2" s="7" t="n">
        <v>2.9</v>
      </c>
      <c r="BD2" t="n">
        <v>10</v>
      </c>
      <c r="BE2" s="8" t="n">
        <v>0.8</v>
      </c>
      <c r="BF2" s="7" t="n">
        <v>3.1</v>
      </c>
      <c r="BG2" s="7" t="n">
        <v>3.353333333333333</v>
      </c>
      <c r="BH2" s="8" t="n">
        <v>0.9066666666666666</v>
      </c>
      <c r="BI2" t="inlineStr">
        <is>
          <t>flat (3.37 in last 30 vs 3.35 before)</t>
        </is>
      </c>
      <c r="BJ2" t="inlineStr"/>
      <c r="BK2" t="inlineStr">
        <is>
          <t>small sample (n=14.5); estimate pulled 26% toward the baseline</t>
        </is>
      </c>
      <c r="BL2" t="inlineStr"/>
      <c r="BM2" t="inlineStr"/>
      <c r="BN2" t="inlineStr">
        <is>
          <t>manual CSV: fixtures.csv</t>
        </is>
      </c>
      <c r="BO2" t="inlineStr">
        <is>
          <t>local results CSV</t>
        </is>
      </c>
      <c r="BP2" s="6" t="n">
        <v>46272.86824936135</v>
      </c>
      <c r="BQ2" s="6" t="n">
        <v>46272.86796771991</v>
      </c>
      <c r="BR2" s="6" t="n">
        <v>46272.86824977109</v>
      </c>
    </row>
    <row r="3">
      <c r="A3" t="inlineStr">
        <is>
          <t>3680fe5d7b142de04b79a40bc9612d1de81ea202</t>
        </is>
      </c>
      <c r="B3" t="inlineStr">
        <is>
          <t>Everton vs Newcastle</t>
        </is>
      </c>
      <c r="C3" t="inlineStr">
        <is>
          <t>English Premier League</t>
        </is>
      </c>
      <c r="D3" t="inlineStr">
        <is>
          <t>Everton</t>
        </is>
      </c>
      <c r="E3" t="inlineStr">
        <is>
          <t>Newcastle</t>
        </is>
      </c>
      <c r="F3" s="6" t="n">
        <v>46273.625</v>
      </c>
      <c r="G3" s="6" t="n">
        <v>46273.5</v>
      </c>
      <c r="H3" t="inlineStr">
        <is>
          <t>Outside analysis window</t>
        </is>
      </c>
      <c r="I3" t="inlineStr">
        <is>
          <t>Kick-off outside analysis window</t>
        </is>
      </c>
      <c r="K3" t="inlineStr"/>
      <c r="L3" t="b">
        <v>0</v>
      </c>
      <c r="M3" s="10" t="n">
        <v>0.8565420630303453</v>
      </c>
      <c r="N3" s="7" t="n">
        <v>1.45</v>
      </c>
      <c r="O3" s="7" t="n">
        <v>2.7</v>
      </c>
      <c r="P3" s="7" t="n">
        <v>2.1</v>
      </c>
      <c r="Q3" s="7" t="n"/>
      <c r="R3" s="7" t="n">
        <v>2.9</v>
      </c>
      <c r="S3" s="7" t="n">
        <v>3.2</v>
      </c>
      <c r="T3" s="7" t="n">
        <v>2.4</v>
      </c>
      <c r="U3" s="7" t="n"/>
      <c r="V3" s="7" t="n"/>
      <c r="W3" s="8" t="n">
        <v>0.9362986921423769</v>
      </c>
      <c r="X3" s="7" t="n">
        <v>2.252476532994852</v>
      </c>
      <c r="Y3" s="7" t="n">
        <v>2.196501777181628</v>
      </c>
      <c r="Z3" s="7" t="n">
        <v>4.44897831017648</v>
      </c>
      <c r="AA3" t="inlineStr">
        <is>
          <t>Low</t>
        </is>
      </c>
      <c r="AB3" s="8" t="n">
        <v>1</v>
      </c>
      <c r="AC3" s="8" t="n">
        <v>0.6896551724137931</v>
      </c>
      <c r="AD3" s="8" t="n">
        <v>0.6506024096385543</v>
      </c>
      <c r="AE3" s="7" t="n">
        <v>1.060025542784163</v>
      </c>
      <c r="AF3" t="b">
        <v>1</v>
      </c>
      <c r="AG3" s="9" t="n">
        <v>0.2856962825038226</v>
      </c>
      <c r="AH3" s="9" t="n">
        <v>0.3576331036064464</v>
      </c>
      <c r="AI3" s="8" t="n">
        <v>0.7947402302365478</v>
      </c>
      <c r="AJ3" t="n">
        <v>8</v>
      </c>
      <c r="AK3" s="8" t="n">
        <v>1</v>
      </c>
      <c r="AL3" s="7" t="n">
        <v>3.756798648309545</v>
      </c>
      <c r="AM3" t="n">
        <v>8</v>
      </c>
      <c r="AN3" t="inlineStr">
        <is>
          <t>2026-09-06 Newcastle 2-2 Everton | 2026-07-04 Everton 2-3 Newcastle | 2026-06-20 Newcastle 2-1 Everton | 2026-04-29 Everton 0-2 Newcastle | 2026-03-28 Everton 4-1 Newcastle</t>
        </is>
      </c>
      <c r="AO3" t="n">
        <v>10</v>
      </c>
      <c r="AP3" s="8" t="n">
        <v>1</v>
      </c>
      <c r="AQ3" s="7" t="n">
        <v>1.4</v>
      </c>
      <c r="AR3" s="7" t="n">
        <v>2.1</v>
      </c>
      <c r="AS3" s="7" t="n">
        <v>3.5</v>
      </c>
      <c r="AT3" t="n">
        <v>10</v>
      </c>
      <c r="AU3" t="n">
        <v>10</v>
      </c>
      <c r="AV3" s="8" t="n">
        <v>1</v>
      </c>
      <c r="AW3" s="7" t="n">
        <v>2.1</v>
      </c>
      <c r="AX3" s="7" t="n">
        <v>1.8</v>
      </c>
      <c r="AY3" s="7" t="n">
        <v>3.9</v>
      </c>
      <c r="AZ3" t="n">
        <v>10</v>
      </c>
      <c r="BA3" t="n">
        <v>10</v>
      </c>
      <c r="BB3" s="8" t="n">
        <v>1</v>
      </c>
      <c r="BC3" s="7" t="n">
        <v>3.4</v>
      </c>
      <c r="BD3" t="n">
        <v>10</v>
      </c>
      <c r="BE3" s="8" t="n">
        <v>1</v>
      </c>
      <c r="BF3" s="7" t="n">
        <v>3.5</v>
      </c>
      <c r="BG3" s="7" t="n">
        <v>3.353333333333333</v>
      </c>
      <c r="BH3" s="8" t="n">
        <v>0.9066666666666666</v>
      </c>
      <c r="BI3" t="inlineStr">
        <is>
          <t>flat (3.37 in last 30 vs 3.35 before)</t>
        </is>
      </c>
      <c r="BJ3" t="inlineStr"/>
      <c r="BK3" t="inlineStr"/>
      <c r="BL3" t="inlineStr"/>
      <c r="BM3" t="inlineStr"/>
      <c r="BN3" t="inlineStr">
        <is>
          <t>manual CSV: fixtures.csv</t>
        </is>
      </c>
      <c r="BO3" t="inlineStr">
        <is>
          <t>local results CSV</t>
        </is>
      </c>
      <c r="BP3" s="6" t="n">
        <v>46272.86824936166</v>
      </c>
      <c r="BQ3" s="6" t="n">
        <v>46272.86796771991</v>
      </c>
      <c r="BR3" s="6" t="n">
        <v>46272.86824977109</v>
      </c>
    </row>
    <row r="4">
      <c r="A4" t="inlineStr">
        <is>
          <t>c4b33a217bd8637dcd54760dc9fe98549a7f3f93</t>
        </is>
      </c>
      <c r="B4" t="inlineStr">
        <is>
          <t>Villarreal vs Atletico Madrid</t>
        </is>
      </c>
      <c r="C4" t="inlineStr">
        <is>
          <t>La Liga</t>
        </is>
      </c>
      <c r="D4" t="inlineStr">
        <is>
          <t>Villarreal</t>
        </is>
      </c>
      <c r="E4" t="inlineStr">
        <is>
          <t>Atletico Madrid</t>
        </is>
      </c>
      <c r="F4" s="6" t="n">
        <v>46273.97916666666</v>
      </c>
      <c r="G4" s="6" t="n">
        <v>46273.85416666666</v>
      </c>
      <c r="H4" t="inlineStr">
        <is>
          <t>Outside analysis window</t>
        </is>
      </c>
      <c r="I4" t="inlineStr">
        <is>
          <t>Kick-off outside analysis window</t>
        </is>
      </c>
      <c r="K4" t="inlineStr"/>
      <c r="L4" t="b">
        <v>0</v>
      </c>
      <c r="M4" s="10" t="n">
        <v>0.7291463372748976</v>
      </c>
      <c r="N4" s="7" t="n">
        <v>2.1</v>
      </c>
      <c r="O4" s="7" t="n">
        <v>1.75</v>
      </c>
      <c r="P4" s="7" t="n">
        <v>3.2</v>
      </c>
      <c r="Q4" s="7" t="n"/>
      <c r="R4" s="7" t="n">
        <v>2.6</v>
      </c>
      <c r="S4" s="7" t="n">
        <v>3.1</v>
      </c>
      <c r="T4" s="7" t="n">
        <v>2.8</v>
      </c>
      <c r="U4" s="7" t="n"/>
      <c r="V4" s="7" t="n"/>
      <c r="W4" s="8" t="n">
        <v>0.8699516673884018</v>
      </c>
      <c r="X4" s="7" t="n">
        <v>2.076281638240447</v>
      </c>
      <c r="Y4" s="7" t="n">
        <v>1.480095231705411</v>
      </c>
      <c r="Z4" s="7" t="n">
        <v>3.556376869945858</v>
      </c>
      <c r="AA4" t="inlineStr">
        <is>
          <t>Low</t>
        </is>
      </c>
      <c r="AB4" s="8" t="n">
        <v>1</v>
      </c>
      <c r="AC4" s="8" t="n">
        <v>0.4761904761904762</v>
      </c>
      <c r="AD4" s="8" t="n">
        <v>0.4545454545454546</v>
      </c>
      <c r="AE4" s="7" t="n">
        <v>1.047619047619047</v>
      </c>
      <c r="AF4" t="b">
        <v>1</v>
      </c>
      <c r="AG4" s="9" t="n">
        <v>0.4154062128429472</v>
      </c>
      <c r="AH4" s="9" t="n">
        <v>0.8268985015156438</v>
      </c>
      <c r="AI4" s="8" t="n">
        <v>0.751725910468767</v>
      </c>
      <c r="AJ4" t="n">
        <v>13</v>
      </c>
      <c r="AK4" s="8" t="n">
        <v>0.7749318504299204</v>
      </c>
      <c r="AL4" s="7" t="n">
        <v>2.906556825402361</v>
      </c>
      <c r="AM4" t="n">
        <v>10</v>
      </c>
      <c r="AN4" t="inlineStr">
        <is>
          <t>2026-08-07 Villarreal 2-1 Atletico Madrid | 2026-07-28 Atletico Madrid 0-3 Villarreal | 2026-07-12 Villarreal 1-1 Atletico Madrid | 2026-06-24 Atletico Madrid 2-2 Villarreal | 2026-06-04 Villarreal 2-1 Atletico Madrid</t>
        </is>
      </c>
      <c r="AO4" t="n">
        <v>10</v>
      </c>
      <c r="AP4" s="8" t="n">
        <v>0.9</v>
      </c>
      <c r="AQ4" s="7" t="n">
        <v>2.3</v>
      </c>
      <c r="AR4" s="7" t="n">
        <v>1.2</v>
      </c>
      <c r="AS4" s="7" t="n">
        <v>3.5</v>
      </c>
      <c r="AT4" t="n">
        <v>9</v>
      </c>
      <c r="AU4" t="n">
        <v>10</v>
      </c>
      <c r="AV4" s="8" t="n">
        <v>1</v>
      </c>
      <c r="AW4" s="7" t="n">
        <v>2</v>
      </c>
      <c r="AX4" s="7" t="n">
        <v>1.6</v>
      </c>
      <c r="AY4" s="7" t="n">
        <v>3.6</v>
      </c>
      <c r="AZ4" t="n">
        <v>10</v>
      </c>
      <c r="BA4" t="n">
        <v>10</v>
      </c>
      <c r="BB4" s="8" t="n">
        <v>0.8</v>
      </c>
      <c r="BC4" s="7" t="n">
        <v>3.1</v>
      </c>
      <c r="BD4" t="n">
        <v>10</v>
      </c>
      <c r="BE4" s="8" t="n">
        <v>0.9</v>
      </c>
      <c r="BF4" s="7" t="n">
        <v>3</v>
      </c>
      <c r="BG4" s="7" t="n">
        <v>3.38</v>
      </c>
      <c r="BH4" s="8" t="n">
        <v>0.9</v>
      </c>
      <c r="BI4" t="inlineStr">
        <is>
          <t>down (3.13 in last 30 vs 3.44 before)</t>
        </is>
      </c>
      <c r="BJ4" t="inlineStr"/>
      <c r="BK4" t="inlineStr"/>
      <c r="BL4" t="inlineStr"/>
      <c r="BM4" t="inlineStr"/>
      <c r="BN4" t="inlineStr">
        <is>
          <t>manual CSV: fixtures.csv</t>
        </is>
      </c>
      <c r="BO4" t="inlineStr">
        <is>
          <t>local results CSV</t>
        </is>
      </c>
      <c r="BP4" s="6" t="n">
        <v>46272.86824936241</v>
      </c>
      <c r="BQ4" s="6" t="n">
        <v>46272.86796771991</v>
      </c>
      <c r="BR4" s="6" t="n">
        <v>46272.86824977109</v>
      </c>
    </row>
    <row r="5">
      <c r="A5" t="inlineStr">
        <is>
          <t>45c692c12547608384dd94dceeb3052a663fb265</t>
        </is>
      </c>
      <c r="B5" t="inlineStr">
        <is>
          <t>Real Madrid vs Barcelona</t>
        </is>
      </c>
      <c r="C5" t="inlineStr">
        <is>
          <t>La Liga</t>
        </is>
      </c>
      <c r="D5" t="inlineStr">
        <is>
          <t>Real Madrid</t>
        </is>
      </c>
      <c r="E5" t="inlineStr">
        <is>
          <t>Barcelona</t>
        </is>
      </c>
      <c r="F5" s="6" t="n">
        <v>46273.875</v>
      </c>
      <c r="G5" s="6" t="n">
        <v>46273.75</v>
      </c>
      <c r="H5" t="inlineStr">
        <is>
          <t>Analysed</t>
        </is>
      </c>
      <c r="I5" t="inlineStr">
        <is>
          <t>Below minimum probability (83.7% &lt; 85.0%)</t>
        </is>
      </c>
      <c r="K5" t="inlineStr"/>
      <c r="L5" t="b">
        <v>0</v>
      </c>
      <c r="M5" s="10" t="n">
        <v>0.1932272254175431</v>
      </c>
      <c r="N5" s="7" t="n">
        <v>1.22</v>
      </c>
      <c r="O5" s="7" t="n">
        <v>4.4</v>
      </c>
      <c r="P5" s="7" t="n">
        <v>1.7</v>
      </c>
      <c r="Q5" s="7" t="n"/>
      <c r="R5" s="7" t="n">
        <v>2.1</v>
      </c>
      <c r="S5" s="7" t="n">
        <v>3.6</v>
      </c>
      <c r="T5" s="7" t="n">
        <v>3.2</v>
      </c>
      <c r="U5" s="7" t="n"/>
      <c r="V5" s="7" t="n"/>
      <c r="W5" s="8" t="n">
        <v>0.8366575683232151</v>
      </c>
      <c r="X5" s="7" t="n">
        <v>1.778920723877746</v>
      </c>
      <c r="Y5" s="7" t="n">
        <v>1.482615449414031</v>
      </c>
      <c r="Z5" s="7" t="n">
        <v>3.261536173291776</v>
      </c>
      <c r="AA5" t="inlineStr">
        <is>
          <t>Medium</t>
        </is>
      </c>
      <c r="AB5" s="8" t="n">
        <v>1</v>
      </c>
      <c r="AC5" s="8" t="n">
        <v>0.819672131147541</v>
      </c>
      <c r="AD5" s="8" t="n">
        <v>0.7829181494661922</v>
      </c>
      <c r="AE5" s="7" t="n">
        <v>1.046944858420268</v>
      </c>
      <c r="AF5" t="b">
        <v>1</v>
      </c>
      <c r="AG5" s="9" t="n">
        <v>0.05373941885702294</v>
      </c>
      <c r="AH5" s="9" t="n">
        <v>0.02072223335432244</v>
      </c>
      <c r="AI5" s="8" t="n">
        <v>0.09419196979237474</v>
      </c>
      <c r="AJ5" t="n">
        <v>8</v>
      </c>
      <c r="AK5" s="8" t="n">
        <v>1</v>
      </c>
      <c r="AL5" s="7" t="n">
        <v>2.793280947463145</v>
      </c>
      <c r="AM5" t="n">
        <v>8</v>
      </c>
      <c r="AN5" t="inlineStr">
        <is>
          <t>2026-08-23 Real Madrid 1-1 Barcelona | 2026-06-28 Real Madrid 3-2 Barcelona | 2026-04-19 Barcelona 3-0 Real Madrid | 2026-04-11 Real Madrid 2-1 Barcelona | 2026-01-31 Real Madrid 0-3 Barcelona</t>
        </is>
      </c>
      <c r="AO5" t="n">
        <v>10</v>
      </c>
      <c r="AP5" s="8" t="n">
        <v>0.8</v>
      </c>
      <c r="AQ5" s="7" t="n">
        <v>0.9</v>
      </c>
      <c r="AR5" s="7" t="n">
        <v>1.7</v>
      </c>
      <c r="AS5" s="7" t="n">
        <v>2.6</v>
      </c>
      <c r="AT5" t="n">
        <v>8</v>
      </c>
      <c r="AU5" t="n">
        <v>10</v>
      </c>
      <c r="AV5" s="8" t="n">
        <v>0.9</v>
      </c>
      <c r="AW5" s="7" t="n">
        <v>1.3</v>
      </c>
      <c r="AX5" s="7" t="n">
        <v>1.8</v>
      </c>
      <c r="AY5" s="7" t="n">
        <v>3.1</v>
      </c>
      <c r="AZ5" t="n">
        <v>9</v>
      </c>
      <c r="BA5" t="n">
        <v>10</v>
      </c>
      <c r="BB5" s="8" t="n">
        <v>1</v>
      </c>
      <c r="BC5" s="7" t="n">
        <v>3.8</v>
      </c>
      <c r="BD5" t="n">
        <v>10</v>
      </c>
      <c r="BE5" s="8" t="n">
        <v>1</v>
      </c>
      <c r="BF5" s="7" t="n">
        <v>3.9</v>
      </c>
      <c r="BG5" s="7" t="n">
        <v>3.38</v>
      </c>
      <c r="BH5" s="8" t="n">
        <v>0.9</v>
      </c>
      <c r="BI5" t="inlineStr">
        <is>
          <t>down (3.13 in last 30 vs 3.44 before)</t>
        </is>
      </c>
      <c r="BJ5" t="inlineStr"/>
      <c r="BK5" t="inlineStr"/>
      <c r="BL5" t="inlineStr"/>
      <c r="BM5" t="inlineStr"/>
      <c r="BN5" t="inlineStr">
        <is>
          <t>manual CSV: fixtures.csv</t>
        </is>
      </c>
      <c r="BO5" t="inlineStr">
        <is>
          <t>local results CSV</t>
        </is>
      </c>
      <c r="BP5" s="6" t="n">
        <v>46272.86824936188</v>
      </c>
      <c r="BQ5" s="6" t="n">
        <v>46272.86796771991</v>
      </c>
      <c r="BR5" s="6" t="n">
        <v>46272.86824977109</v>
      </c>
    </row>
    <row r="6">
      <c r="A6" t="inlineStr">
        <is>
          <t>f26cc53848a4c8cce19c8eddc73c6f456e046634</t>
        </is>
      </c>
      <c r="B6" t="inlineStr">
        <is>
          <t>Sevilla vs Valencia</t>
        </is>
      </c>
      <c r="C6" t="inlineStr">
        <is>
          <t>La Liga</t>
        </is>
      </c>
      <c r="D6" t="inlineStr">
        <is>
          <t>Sevilla</t>
        </is>
      </c>
      <c r="E6" t="inlineStr">
        <is>
          <t>Valencia</t>
        </is>
      </c>
      <c r="F6" s="6" t="n">
        <v>46273.79166666666</v>
      </c>
      <c r="G6" s="6" t="n">
        <v>46273.66666666666</v>
      </c>
      <c r="H6" t="inlineStr">
        <is>
          <t>Analysed</t>
        </is>
      </c>
      <c r="I6" t="inlineStr">
        <is>
          <t>Below minimum probability (83.5% &lt; 85.0%)</t>
        </is>
      </c>
      <c r="K6" t="inlineStr"/>
      <c r="L6" t="b">
        <v>0</v>
      </c>
      <c r="M6" s="10" t="n">
        <v>0.3725198762649905</v>
      </c>
      <c r="N6" s="7" t="n">
        <v>1.55</v>
      </c>
      <c r="O6" s="7" t="n">
        <v>2.45</v>
      </c>
      <c r="P6" s="7" t="n">
        <v>2.3</v>
      </c>
      <c r="Q6" s="7" t="n"/>
      <c r="R6" s="7" t="n">
        <v>2.2</v>
      </c>
      <c r="S6" s="7" t="n">
        <v>3.1</v>
      </c>
      <c r="T6" s="7" t="n">
        <v>3.4</v>
      </c>
      <c r="U6" s="7" t="n"/>
      <c r="V6" s="7" t="n"/>
      <c r="W6" s="8" t="n">
        <v>0.8348866484544858</v>
      </c>
      <c r="X6" s="7" t="n">
        <v>1.805591853039569</v>
      </c>
      <c r="Y6" s="7" t="n">
        <v>1.441847506579377</v>
      </c>
      <c r="Z6" s="7" t="n">
        <v>3.247439359618946</v>
      </c>
      <c r="AA6" t="inlineStr">
        <is>
          <t>Low</t>
        </is>
      </c>
      <c r="AB6" s="8" t="n">
        <v>1</v>
      </c>
      <c r="AC6" s="8" t="n">
        <v>0.6451612903225806</v>
      </c>
      <c r="AD6" s="8" t="n">
        <v>0.6125</v>
      </c>
      <c r="AE6" s="7" t="n">
        <v>1.053324555628703</v>
      </c>
      <c r="AF6" t="b">
        <v>1</v>
      </c>
      <c r="AG6" s="9" t="n">
        <v>0.2223866484544857</v>
      </c>
      <c r="AH6" s="9" t="n">
        <v>0.294074305104453</v>
      </c>
      <c r="AI6" s="8" t="n">
        <v>0.5346805547353691</v>
      </c>
      <c r="AJ6" t="n">
        <v>5</v>
      </c>
      <c r="AK6" s="8" t="n">
        <v>0.5971074084194526</v>
      </c>
      <c r="AL6" s="7" t="n">
        <v>2.369199746226838</v>
      </c>
      <c r="AM6" t="n">
        <v>3</v>
      </c>
      <c r="AN6" t="inlineStr">
        <is>
          <t>2026-07-04 Sevilla 0-0 Valencia | 2026-06-22 Valencia 2-2 Sevilla | 2026-06-08 Valencia 2-1 Sevilla | 2026-02-26 Sevilla 1-0 Valencia | 2025-12-20 Valencia 2-2 Sevilla</t>
        </is>
      </c>
      <c r="AO6" t="n">
        <v>10</v>
      </c>
      <c r="AP6" s="8" t="n">
        <v>0.8</v>
      </c>
      <c r="AQ6" s="7" t="n">
        <v>1.4</v>
      </c>
      <c r="AR6" s="7" t="n">
        <v>1.4</v>
      </c>
      <c r="AS6" s="7" t="n">
        <v>2.8</v>
      </c>
      <c r="AT6" t="n">
        <v>8</v>
      </c>
      <c r="AU6" t="n">
        <v>10</v>
      </c>
      <c r="AV6" s="8" t="n">
        <v>1</v>
      </c>
      <c r="AW6" s="7" t="n">
        <v>1.7</v>
      </c>
      <c r="AX6" s="7" t="n">
        <v>1.7</v>
      </c>
      <c r="AY6" s="7" t="n">
        <v>3.4</v>
      </c>
      <c r="AZ6" t="n">
        <v>10</v>
      </c>
      <c r="BA6" t="n">
        <v>10</v>
      </c>
      <c r="BB6" s="8" t="n">
        <v>0.8</v>
      </c>
      <c r="BC6" s="7" t="n">
        <v>2.9</v>
      </c>
      <c r="BD6" t="n">
        <v>10</v>
      </c>
      <c r="BE6" s="8" t="n">
        <v>0.9</v>
      </c>
      <c r="BF6" s="7" t="n">
        <v>3.4</v>
      </c>
      <c r="BG6" s="7" t="n">
        <v>3.38</v>
      </c>
      <c r="BH6" s="8" t="n">
        <v>0.9</v>
      </c>
      <c r="BI6" t="inlineStr">
        <is>
          <t>down (3.13 in last 30 vs 3.44 before)</t>
        </is>
      </c>
      <c r="BJ6" t="inlineStr"/>
      <c r="BK6" t="inlineStr"/>
      <c r="BL6" t="inlineStr"/>
      <c r="BM6" t="inlineStr"/>
      <c r="BN6" t="inlineStr">
        <is>
          <t>manual CSV: fixtures.csv</t>
        </is>
      </c>
      <c r="BO6" t="inlineStr">
        <is>
          <t>local results CSV</t>
        </is>
      </c>
      <c r="BP6" s="6" t="n">
        <v>46272.86824936215</v>
      </c>
      <c r="BQ6" s="6" t="n">
        <v>46272.86796771991</v>
      </c>
      <c r="BR6" s="6" t="n">
        <v>46272.86824977109</v>
      </c>
    </row>
    <row r="7">
      <c r="A7" t="inlineStr">
        <is>
          <t>e070cc310c73c50798a034d37ed30bc9ad88333e</t>
        </is>
      </c>
      <c r="B7" t="inlineStr">
        <is>
          <t>Man Utd vs Arsenal</t>
        </is>
      </c>
      <c r="C7" t="inlineStr">
        <is>
          <t>English Premier League</t>
        </is>
      </c>
      <c r="D7" t="inlineStr">
        <is>
          <t>Man Utd</t>
        </is>
      </c>
      <c r="E7" t="inlineStr">
        <is>
          <t>Arsenal</t>
        </is>
      </c>
      <c r="F7" s="6" t="n">
        <v>46273.75</v>
      </c>
      <c r="G7" s="6" t="n">
        <v>46273.625</v>
      </c>
      <c r="H7" t="inlineStr">
        <is>
          <t>Outside analysis window</t>
        </is>
      </c>
      <c r="I7" t="inlineStr">
        <is>
          <t>Kick-off outside analysis window</t>
        </is>
      </c>
      <c r="K7" t="inlineStr"/>
      <c r="L7" t="b">
        <v>0</v>
      </c>
      <c r="M7" s="10" t="n">
        <v>0.01347303363744295</v>
      </c>
      <c r="N7" s="7" t="n">
        <v>1.3</v>
      </c>
      <c r="O7" s="7" t="n">
        <v>3.4</v>
      </c>
      <c r="P7" s="7" t="n">
        <v>1.85</v>
      </c>
      <c r="Q7" s="7" t="n"/>
      <c r="R7" s="7" t="n">
        <v>2.5</v>
      </c>
      <c r="S7" s="7" t="n">
        <v>3.4</v>
      </c>
      <c r="T7" s="7" t="n">
        <v>2.7</v>
      </c>
      <c r="U7" s="7" t="n"/>
      <c r="V7" s="7" t="n"/>
      <c r="W7" s="8" t="n">
        <v>0.7893255463784681</v>
      </c>
      <c r="X7" s="7" t="n">
        <v>1.741631648072229</v>
      </c>
      <c r="Y7" s="7" t="n">
        <v>1.183110120291193</v>
      </c>
      <c r="Z7" s="7" t="n">
        <v>2.924741768363422</v>
      </c>
      <c r="AA7" t="inlineStr">
        <is>
          <t>Low</t>
        </is>
      </c>
      <c r="AB7" s="8" t="n">
        <v>1</v>
      </c>
      <c r="AC7" s="8" t="n">
        <v>0.7692307692307692</v>
      </c>
      <c r="AD7" s="8" t="n">
        <v>0.7234042553191489</v>
      </c>
      <c r="AE7" s="7" t="n">
        <v>1.063348416289593</v>
      </c>
      <c r="AF7" t="b">
        <v>1</v>
      </c>
      <c r="AG7" s="9" t="n">
        <v>0.06592129105931921</v>
      </c>
      <c r="AH7" s="9" t="n">
        <v>0.02612321029200859</v>
      </c>
      <c r="AI7" s="8" t="n">
        <v>0.08707736764002844</v>
      </c>
      <c r="AJ7" t="n">
        <v>7</v>
      </c>
      <c r="AK7" s="8" t="n">
        <v>0.552692811056286</v>
      </c>
      <c r="AL7" s="7" t="n">
        <v>1.831292345204909</v>
      </c>
      <c r="AM7" t="n">
        <v>4</v>
      </c>
      <c r="AN7" t="inlineStr">
        <is>
          <t>2026-08-21 Arsenal 0-1 Manchester United | 2026-08-01 Manchester United 1-0 Arsenal | 2026-07-02 Arsenal 1-1 Manchester United | 2026-06-26 Arsenal 0-1 Manchester United | 2026-06-08 Arsenal 2-1 Manchester United</t>
        </is>
      </c>
      <c r="AO7" t="n">
        <v>10</v>
      </c>
      <c r="AP7" s="8" t="n">
        <v>0.8</v>
      </c>
      <c r="AQ7" s="7" t="n">
        <v>1.9</v>
      </c>
      <c r="AR7" s="7" t="n">
        <v>0.9</v>
      </c>
      <c r="AS7" s="7" t="n">
        <v>2.8</v>
      </c>
      <c r="AT7" t="n">
        <v>8</v>
      </c>
      <c r="AU7" t="n">
        <v>10</v>
      </c>
      <c r="AV7" s="8" t="n">
        <v>0.6</v>
      </c>
      <c r="AW7" s="7" t="n">
        <v>1</v>
      </c>
      <c r="AX7" s="7" t="n">
        <v>1.7</v>
      </c>
      <c r="AY7" s="7" t="n">
        <v>2.7</v>
      </c>
      <c r="AZ7" t="n">
        <v>6</v>
      </c>
      <c r="BA7" t="n">
        <v>10</v>
      </c>
      <c r="BB7" s="8" t="n">
        <v>0.9</v>
      </c>
      <c r="BC7" s="7" t="n">
        <v>4</v>
      </c>
      <c r="BD7" t="n">
        <v>10</v>
      </c>
      <c r="BE7" s="8" t="n">
        <v>0.7</v>
      </c>
      <c r="BF7" s="7" t="n">
        <v>3</v>
      </c>
      <c r="BG7" s="7" t="n">
        <v>3.353333333333333</v>
      </c>
      <c r="BH7" s="8" t="n">
        <v>0.9066666666666666</v>
      </c>
      <c r="BI7" t="inlineStr">
        <is>
          <t>flat (3.37 in last 30 vs 3.35 before)</t>
        </is>
      </c>
      <c r="BJ7" t="inlineStr"/>
      <c r="BK7" t="inlineStr"/>
      <c r="BL7" t="inlineStr"/>
      <c r="BM7" t="inlineStr"/>
      <c r="BN7" t="inlineStr">
        <is>
          <t>manual CSV: fixtures.csv</t>
        </is>
      </c>
      <c r="BO7" t="inlineStr">
        <is>
          <t>local results CSV</t>
        </is>
      </c>
      <c r="BP7" s="6" t="n">
        <v>46272.86824936092</v>
      </c>
      <c r="BQ7" s="6" t="n">
        <v>46272.86796771991</v>
      </c>
      <c r="BR7" s="6" t="n">
        <v>46272.86824977109</v>
      </c>
    </row>
    <row r="8">
      <c r="A8" t="inlineStr">
        <is>
          <t>6e6656c9e88c09efbe67ceddf04d8dde0fa1cdd2</t>
        </is>
      </c>
      <c r="B8" t="inlineStr">
        <is>
          <t>KCCA FC vs Vipers SC</t>
        </is>
      </c>
      <c r="C8" t="inlineStr">
        <is>
          <t>Uganda Premier League</t>
        </is>
      </c>
      <c r="D8" t="inlineStr">
        <is>
          <t>KCCA FC</t>
        </is>
      </c>
      <c r="E8" t="inlineStr">
        <is>
          <t>Vipers SC</t>
        </is>
      </c>
      <c r="F8" s="6" t="n">
        <v>46273.70833333334</v>
      </c>
      <c r="G8" s="6" t="n">
        <v>46273.58333333334</v>
      </c>
      <c r="H8" t="inlineStr">
        <is>
          <t>Outside analysis window</t>
        </is>
      </c>
      <c r="I8" t="inlineStr">
        <is>
          <t>Kick-off outside analysis window</t>
        </is>
      </c>
      <c r="K8" t="inlineStr"/>
      <c r="L8" t="b">
        <v>0</v>
      </c>
      <c r="M8" s="10" t="n"/>
      <c r="N8" s="7" t="n">
        <v>1.6</v>
      </c>
      <c r="O8" s="7" t="n">
        <v>2.3</v>
      </c>
      <c r="P8" s="7" t="n">
        <v>2.4</v>
      </c>
      <c r="Q8" s="7" t="n"/>
      <c r="R8" s="7" t="n">
        <v>2.3</v>
      </c>
      <c r="S8" s="7" t="n">
        <v>3</v>
      </c>
      <c r="T8" s="7" t="n">
        <v>3.1</v>
      </c>
      <c r="U8" s="7" t="n"/>
      <c r="V8" s="7" t="n"/>
      <c r="W8" s="8" t="n"/>
      <c r="X8" s="7" t="n"/>
      <c r="Y8" s="7" t="n"/>
      <c r="Z8" s="7" t="n"/>
      <c r="AA8" t="inlineStr"/>
      <c r="AB8" s="8" t="n"/>
      <c r="AC8" s="8" t="n"/>
      <c r="AD8" s="8" t="n"/>
      <c r="AE8" s="7" t="n"/>
      <c r="AF8" t="b">
        <v>0</v>
      </c>
      <c r="AG8" s="9" t="n"/>
      <c r="AH8" s="9" t="n"/>
      <c r="AI8" s="8" t="n"/>
      <c r="AK8" s="8" t="n"/>
      <c r="AL8" s="7" t="n"/>
      <c r="AN8" t="inlineStr"/>
      <c r="AP8" s="8" t="n"/>
      <c r="AQ8" s="7" t="n"/>
      <c r="AR8" s="7" t="n"/>
      <c r="AS8" s="7" t="n"/>
      <c r="AV8" s="8" t="n"/>
      <c r="AW8" s="7" t="n"/>
      <c r="AX8" s="7" t="n"/>
      <c r="AY8" s="7" t="n"/>
      <c r="BB8" s="8" t="n"/>
      <c r="BC8" s="7" t="n"/>
      <c r="BE8" s="8" t="n"/>
      <c r="BF8" s="7" t="n"/>
      <c r="BG8" s="7" t="n"/>
      <c r="BH8" s="8" t="n"/>
      <c r="BI8" t="inlineStr"/>
      <c r="BJ8" t="inlineStr"/>
      <c r="BK8" t="inlineStr"/>
      <c r="BL8" t="inlineStr"/>
      <c r="BM8" t="inlineStr"/>
      <c r="BN8" t="inlineStr">
        <is>
          <t>manual CSV: fixtures.csv</t>
        </is>
      </c>
      <c r="BO8" t="inlineStr"/>
      <c r="BP8" s="6" t="n">
        <v>46272.86824936264</v>
      </c>
      <c r="BQ8" s="6" t="n">
        <v>46272.86796771991</v>
      </c>
      <c r="BR8" s="6" t="n">
        <v>46272.86824977109</v>
      </c>
    </row>
  </sheetData>
  <autoFilter ref="A1:BR8"/>
  <conditionalFormatting sqref="W2:W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8" customWidth="1" min="4" max="4"/>
    <col width="15" customWidth="1" min="5" max="5"/>
    <col width="10" customWidth="1" min="6" max="6"/>
    <col width="14" customWidth="1" min="7" max="7"/>
    <col width="12" customWidth="1" min="8" max="8"/>
    <col width="13" customWidth="1" min="9" max="9"/>
    <col width="10" customWidth="1" min="10" max="10"/>
    <col width="9" customWidth="1" min="11" max="11"/>
    <col width="60" customWidth="1" min="12" max="12"/>
    <col width="60" customWidth="1" min="13" max="13"/>
    <col width="80" customWidth="1" min="14" max="14"/>
  </cols>
  <sheetData>
    <row r="1">
      <c r="A1" s="5" t="inlineStr">
        <is>
          <t>Run Started (UTC)</t>
        </is>
      </c>
      <c r="B1" s="5" t="inlineStr">
        <is>
          <t>Run Finished (UTC)</t>
        </is>
      </c>
      <c r="C1" s="5" t="inlineStr">
        <is>
          <t>Duration (s)</t>
        </is>
      </c>
      <c r="D1" s="5" t="inlineStr">
        <is>
          <t>Window (EAT)</t>
        </is>
      </c>
      <c r="E1" s="5" t="inlineStr">
        <is>
          <t>Min Probability</t>
        </is>
      </c>
      <c r="F1" s="5" t="inlineStr">
        <is>
          <t>Min Odds</t>
        </is>
      </c>
      <c r="G1" s="5" t="inlineStr">
        <is>
          <t>Fixtures Found</t>
        </is>
      </c>
      <c r="H1" s="5" t="inlineStr">
        <is>
          <t>Rows Added</t>
        </is>
      </c>
      <c r="I1" s="5" t="inlineStr">
        <is>
          <t>Rows Updated</t>
        </is>
      </c>
      <c r="J1" s="5" t="inlineStr">
        <is>
          <t>Warnings</t>
        </is>
      </c>
      <c r="K1" s="5" t="inlineStr">
        <is>
          <t>Errors</t>
        </is>
      </c>
      <c r="L1" s="5" t="inlineStr">
        <is>
          <t>Warning Detail</t>
        </is>
      </c>
      <c r="M1" s="5" t="inlineStr">
        <is>
          <t>Error Detail</t>
        </is>
      </c>
      <c r="N1" s="5" t="inlineStr">
        <is>
          <t>Effective Configuration</t>
        </is>
      </c>
    </row>
    <row r="2">
      <c r="A2" s="3" t="n">
        <v>46272.86796719908</v>
      </c>
      <c r="B2" s="3" t="n">
        <v>46272.86796771991</v>
      </c>
      <c r="C2" t="n">
        <v>0.04549129999941215</v>
      </c>
      <c r="D2" t="inlineStr">
        <is>
          <t>00:00 - 23:59</t>
        </is>
      </c>
      <c r="E2" t="n">
        <v>70</v>
      </c>
      <c r="F2" t="n">
        <v>1.2</v>
      </c>
      <c r="G2" t="n">
        <v>7</v>
      </c>
      <c r="H2" t="n">
        <v>7</v>
      </c>
      <c r="I2" t="n">
        <v>0</v>
      </c>
      <c r="J2" t="n">
        <v>0</v>
      </c>
      <c r="K2" t="n">
        <v>0</v>
      </c>
      <c r="N2" t="inlineStr">
        <is>
          <t>window=00:00-23:59 EAT (default) | min_probability=70.0% (default) | min_odds=1.20 (default)</t>
        </is>
      </c>
    </row>
    <row r="3">
      <c r="A3" s="6" t="n">
        <v>46272.86824920405</v>
      </c>
      <c r="B3" s="6" t="n">
        <v>46272.86824977231</v>
      </c>
      <c r="C3" s="7" t="n">
        <v>0.04909179999958724</v>
      </c>
      <c r="D3" t="inlineStr">
        <is>
          <t>19:00 - 22:00</t>
        </is>
      </c>
      <c r="E3" s="11" t="n">
        <v>85</v>
      </c>
      <c r="F3" s="7" t="n">
        <v>1.2</v>
      </c>
      <c r="G3" t="n">
        <v>7</v>
      </c>
      <c r="H3" t="n">
        <v>0</v>
      </c>
      <c r="I3" t="n">
        <v>7</v>
      </c>
      <c r="J3" t="n">
        <v>0</v>
      </c>
      <c r="K3" t="n">
        <v>0</v>
      </c>
      <c r="L3" t="inlineStr"/>
      <c r="M3" t="inlineStr"/>
      <c r="N3" t="inlineStr">
        <is>
          <t>window=19:00-22:00 EAT (flag) | min_probability=85.0% (flag) | min_odds=1.20 (flag)</t>
        </is>
      </c>
    </row>
  </sheetData>
  <autoFilter ref="A1:N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60" customWidth="1" min="3" max="3"/>
    <col width="20" customWidth="1" min="4" max="4"/>
    <col width="60" customWidth="1" min="5" max="5"/>
  </cols>
  <sheetData>
    <row r="1">
      <c r="A1" s="5" t="inlineStr">
        <is>
          <t>Statistic</t>
        </is>
      </c>
      <c r="B1" s="5" t="inlineStr">
        <is>
          <t>Source</t>
        </is>
      </c>
      <c r="C1" s="5" t="inlineStr">
        <is>
          <t>Endpoint / URL</t>
        </is>
      </c>
      <c r="D1" s="5" t="inlineStr">
        <is>
          <t>Retrieved (UTC)</t>
        </is>
      </c>
      <c r="E1" s="5" t="inlineStr">
        <is>
          <t>Notes</t>
        </is>
      </c>
    </row>
    <row r="2">
      <c r="A2" t="inlineStr">
        <is>
          <t>results</t>
        </is>
      </c>
      <c r="B2" t="inlineStr">
        <is>
          <t>local results CSV</t>
        </is>
      </c>
      <c r="C2" t="inlineStr">
        <is>
          <t>_demo\results.csv</t>
        </is>
      </c>
      <c r="D2" s="6" t="n">
        <v>46272.86824947162</v>
      </c>
      <c r="E2" t="inlineStr">
        <is>
          <t>300 completed matches</t>
        </is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2026-09-07T20:49:52Z</dcterms:created>
  <dcterms:modified xmlns:dcterms="http://purl.org/dc/terms/" xmlns:xsi="http://www.w3.org/2001/XMLSchema-instance" xsi:type="dcterms:W3CDTF">2026-09-07T20:50:16Z</dcterms:modified>
</cp:coreProperties>
</file>